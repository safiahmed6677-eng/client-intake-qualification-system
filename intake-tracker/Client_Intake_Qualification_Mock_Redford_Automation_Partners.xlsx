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fi\Downloads\"/>
    </mc:Choice>
  </mc:AlternateContent>
  <xr:revisionPtr revIDLastSave="0" documentId="13_ncr:1_{0A47247C-A255-4FCB-8780-AB31A43B756A}" xr6:coauthVersionLast="47" xr6:coauthVersionMax="47" xr10:uidLastSave="{00000000-0000-0000-0000-000000000000}"/>
  <bookViews>
    <workbookView xWindow="3855" yWindow="3855" windowWidth="21600" windowHeight="11385" activeTab="2" xr2:uid="{00000000-000D-0000-FFFF-FFFF00000000}"/>
  </bookViews>
  <sheets>
    <sheet name="Client Intake" sheetId="1" r:id="rId1"/>
    <sheet name="Qualification Scoring" sheetId="2" r:id="rId2"/>
    <sheet name="Decision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B7" i="3"/>
  <c r="C6" i="3"/>
  <c r="B6" i="3"/>
  <c r="J7" i="2"/>
  <c r="K7" i="2" s="1"/>
  <c r="D7" i="3" s="1"/>
  <c r="J6" i="2"/>
  <c r="K6" i="2" s="1"/>
  <c r="D6" i="3" s="1"/>
</calcChain>
</file>

<file path=xl/sharedStrings.xml><?xml version="1.0" encoding="utf-8"?>
<sst xmlns="http://schemas.openxmlformats.org/spreadsheetml/2006/main" count="133" uniqueCount="102">
  <si>
    <t>Company (Mock)</t>
  </si>
  <si>
    <t>Redford Automation Partners (Example)</t>
  </si>
  <si>
    <t>Document</t>
  </si>
  <si>
    <t>Client Intake &amp; Deal Qualification Tracker (Mock)</t>
  </si>
  <si>
    <t>Last updated</t>
  </si>
  <si>
    <t>2026-01-16</t>
  </si>
  <si>
    <t>Notes</t>
  </si>
  <si>
    <t>Illustrative dataset only. No real client data included.</t>
  </si>
  <si>
    <t>Lead ID</t>
  </si>
  <si>
    <t>Company Name</t>
  </si>
  <si>
    <t>Website</t>
  </si>
  <si>
    <t>Industry</t>
  </si>
  <si>
    <t>Company Size</t>
  </si>
  <si>
    <t>Contact Name</t>
  </si>
  <si>
    <t>Role</t>
  </si>
  <si>
    <t>Lead Source</t>
  </si>
  <si>
    <t>Use Case Summary</t>
  </si>
  <si>
    <t>Trigger / Reason Now</t>
  </si>
  <si>
    <t>Success Definition (30/60/90 days)</t>
  </si>
  <si>
    <t>Current Tools / Process</t>
  </si>
  <si>
    <t>Impact if No Change</t>
  </si>
  <si>
    <t>Budget Range</t>
  </si>
  <si>
    <t>Commercial Model (One-off / Ongoing)</t>
  </si>
  <si>
    <t>Timing / Deadline</t>
  </si>
  <si>
    <t>Decision Makers Involved</t>
  </si>
  <si>
    <t>Decision Timeline</t>
  </si>
  <si>
    <t>Must-have Requirements</t>
  </si>
  <si>
    <t>Data / Security Constraints</t>
  </si>
  <si>
    <t>Internal Blockers</t>
  </si>
  <si>
    <t>Recommended Next Step</t>
  </si>
  <si>
    <t>L-001</t>
  </si>
  <si>
    <t>Harborline Logistics</t>
  </si>
  <si>
    <t>harborlinelogistics.co.uk</t>
  </si>
  <si>
    <t>Logistics</t>
  </si>
  <si>
    <t>51–200</t>
  </si>
  <si>
    <t>J. Patel</t>
  </si>
  <si>
    <t>Operations Director</t>
  </si>
  <si>
    <t>LinkedIn</t>
  </si>
  <si>
    <t>Automate intake + reporting for weekly ops KPIs</t>
  </si>
  <si>
    <t>New client contracts increasing reporting load</t>
  </si>
  <si>
    <t>Reduce manual reporting; weekly dashboard; audit trail</t>
  </si>
  <si>
    <t>Excel + email threads</t>
  </si>
  <si>
    <t>Team spending 6–8 hrs/week consolidating data</t>
  </si>
  <si>
    <t>£5k–£15k</t>
  </si>
  <si>
    <t>One-off + Ongoing</t>
  </si>
  <si>
    <t>Within 4 weeks</t>
  </si>
  <si>
    <t>Ops Director + Finance Manager</t>
  </si>
  <si>
    <t>2–3 weeks</t>
  </si>
  <si>
    <t>Power BI export; simple CRM integration</t>
  </si>
  <si>
    <t>Standard GDPR; no special restrictions</t>
  </si>
  <si>
    <t>Limited internal time</t>
  </si>
  <si>
    <t>Book discovery call (30 mins)</t>
  </si>
  <si>
    <t>Likely good fit; clear pain + timeline</t>
  </si>
  <si>
    <t>L-002</t>
  </si>
  <si>
    <t>Westbridge Legal</t>
  </si>
  <si>
    <t>westbridgelegal.com</t>
  </si>
  <si>
    <t>Professional Services</t>
  </si>
  <si>
    <t>11–50</t>
  </si>
  <si>
    <t>S. Ahmed</t>
  </si>
  <si>
    <t>Managing Partner</t>
  </si>
  <si>
    <t>Referral</t>
  </si>
  <si>
    <t>Set up lightweight workflow + reporting for client onboarding</t>
  </si>
  <si>
    <t>Supplier asked for process evidence</t>
  </si>
  <si>
    <t>Clear onboarding flow; reduce back-and-forth; standard templates</t>
  </si>
  <si>
    <t>Ad-hoc docs</t>
  </si>
  <si>
    <t>Inconsistent onboarding; delays</t>
  </si>
  <si>
    <t>£2k–£6k</t>
  </si>
  <si>
    <t>One-off</t>
  </si>
  <si>
    <t>Next 6–8 weeks</t>
  </si>
  <si>
    <t>4–6 weeks</t>
  </si>
  <si>
    <t>Simple templates; minimal tools</t>
  </si>
  <si>
    <t>Client data sensitivity; prefer local storage</t>
  </si>
  <si>
    <t>Change resistance</t>
  </si>
  <si>
    <t>Send 1-page outline + follow-up</t>
  </si>
  <si>
    <t>Nurture: need more clarity on scope</t>
  </si>
  <si>
    <t>Qualification Scoring (0–100) with Risk Modifiers (Mock)</t>
  </si>
  <si>
    <t>Need Clarity (0-20)</t>
  </si>
  <si>
    <t>Use-case Fit (0-20)</t>
  </si>
  <si>
    <t>Authority Access (0-15)</t>
  </si>
  <si>
    <t>Budget Fit (0-15)</t>
  </si>
  <si>
    <t>Timing Urgency (0-10)</t>
  </si>
  <si>
    <t>Delivery Complexity (-10 to 0)</t>
  </si>
  <si>
    <t>Data / Security Risk (-10 to 0)</t>
  </si>
  <si>
    <t>Strategic Upside (0 to +10)</t>
  </si>
  <si>
    <t>Total Score</t>
  </si>
  <si>
    <t>Decision Output</t>
  </si>
  <si>
    <t>Reviewer</t>
  </si>
  <si>
    <t>Review Date</t>
  </si>
  <si>
    <t>Safi Ahmed</t>
  </si>
  <si>
    <t>Clear need + budget + timeline; minimal risk</t>
  </si>
  <si>
    <t>Some fit but scope unclear; data sensitivity; nurture</t>
  </si>
  <si>
    <t>Decision Summary Output (Mock)</t>
  </si>
  <si>
    <t>Company</t>
  </si>
  <si>
    <t>Decision (Prioritise / Nurture / Disqualify)</t>
  </si>
  <si>
    <t>Primary Reason</t>
  </si>
  <si>
    <t>Recommended Action</t>
  </si>
  <si>
    <t>Owner</t>
  </si>
  <si>
    <t>Follow-up Date</t>
  </si>
  <si>
    <t>Clear pain + budget + timeline</t>
  </si>
  <si>
    <t>Book discovery call; confirm requirements</t>
  </si>
  <si>
    <t>Scope unclear; data constraints</t>
  </si>
  <si>
    <t>Send outline; follow up in 1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</si>
</sst>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1F4E79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0" customWidth="1"/>
    <col min="2" max="3" width="22" customWidth="1"/>
    <col min="4" max="4" width="18" customWidth="1"/>
    <col min="5" max="5" width="14" customWidth="1"/>
    <col min="6" max="6" width="18" customWidth="1"/>
    <col min="7" max="7" width="16" customWidth="1"/>
    <col min="8" max="8" width="14" customWidth="1"/>
    <col min="9" max="9" width="30" customWidth="1"/>
    <col min="10" max="10" width="22" customWidth="1"/>
    <col min="11" max="11" width="28" customWidth="1"/>
    <col min="12" max="12" width="22" customWidth="1"/>
    <col min="13" max="13" width="26" customWidth="1"/>
    <col min="14" max="14" width="14" customWidth="1"/>
    <col min="15" max="15" width="18" customWidth="1"/>
    <col min="16" max="16" width="16" customWidth="1"/>
    <col min="17" max="17" width="22" customWidth="1"/>
    <col min="18" max="18" width="16" customWidth="1"/>
    <col min="19" max="21" width="22" customWidth="1"/>
    <col min="22" max="22" width="20" customWidth="1"/>
    <col min="23" max="23" width="26" customWidth="1"/>
  </cols>
  <sheetData>
    <row r="1" spans="1:23" ht="30" x14ac:dyDescent="0.25">
      <c r="A1" s="1" t="s">
        <v>0</v>
      </c>
      <c r="B1" s="4" t="s">
        <v>1</v>
      </c>
      <c r="C1" s="5"/>
      <c r="D1" s="5"/>
      <c r="E1" s="5"/>
      <c r="F1" s="5"/>
      <c r="G1" s="5"/>
      <c r="H1" s="6"/>
    </row>
    <row r="2" spans="1:23" ht="30" x14ac:dyDescent="0.25">
      <c r="A2" s="1" t="s">
        <v>2</v>
      </c>
      <c r="B2" s="4" t="s">
        <v>3</v>
      </c>
      <c r="C2" s="5"/>
      <c r="D2" s="5"/>
      <c r="E2" s="5"/>
      <c r="F2" s="5"/>
      <c r="G2" s="5"/>
      <c r="H2" s="6"/>
    </row>
    <row r="3" spans="1:23" ht="30" x14ac:dyDescent="0.25">
      <c r="A3" s="1" t="s">
        <v>4</v>
      </c>
      <c r="B3" s="4" t="s">
        <v>5</v>
      </c>
      <c r="C3" s="5"/>
      <c r="D3" s="5"/>
      <c r="E3" s="5"/>
      <c r="F3" s="5"/>
      <c r="G3" s="5"/>
      <c r="H3" s="6"/>
    </row>
    <row r="4" spans="1:23" x14ac:dyDescent="0.25">
      <c r="A4" s="1" t="s">
        <v>6</v>
      </c>
      <c r="B4" s="4" t="s">
        <v>7</v>
      </c>
      <c r="C4" s="5"/>
      <c r="D4" s="5"/>
      <c r="E4" s="5"/>
      <c r="F4" s="5"/>
      <c r="G4" s="5"/>
      <c r="H4" s="6"/>
    </row>
    <row r="5" spans="1:23" ht="45" x14ac:dyDescent="0.2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2" t="s">
        <v>21</v>
      </c>
      <c r="O5" s="2" t="s">
        <v>22</v>
      </c>
      <c r="P5" s="2" t="s">
        <v>23</v>
      </c>
      <c r="Q5" s="2" t="s">
        <v>24</v>
      </c>
      <c r="R5" s="2" t="s">
        <v>25</v>
      </c>
      <c r="S5" s="2" t="s">
        <v>26</v>
      </c>
      <c r="T5" s="2" t="s">
        <v>27</v>
      </c>
      <c r="U5" s="2" t="s">
        <v>28</v>
      </c>
      <c r="V5" s="2" t="s">
        <v>29</v>
      </c>
      <c r="W5" s="2" t="s">
        <v>6</v>
      </c>
    </row>
    <row r="6" spans="1:23" ht="45" x14ac:dyDescent="0.25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42</v>
      </c>
      <c r="N6" s="3" t="s">
        <v>43</v>
      </c>
      <c r="O6" s="3" t="s">
        <v>44</v>
      </c>
      <c r="P6" s="3" t="s">
        <v>45</v>
      </c>
      <c r="Q6" s="3" t="s">
        <v>46</v>
      </c>
      <c r="R6" s="3" t="s">
        <v>47</v>
      </c>
      <c r="S6" s="3" t="s">
        <v>48</v>
      </c>
      <c r="T6" s="3" t="s">
        <v>49</v>
      </c>
      <c r="U6" s="3" t="s">
        <v>50</v>
      </c>
      <c r="V6" s="3" t="s">
        <v>51</v>
      </c>
      <c r="W6" s="3" t="s">
        <v>52</v>
      </c>
    </row>
    <row r="7" spans="1:23" ht="45" x14ac:dyDescent="0.25">
      <c r="A7" s="3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59</v>
      </c>
      <c r="H7" s="3" t="s">
        <v>60</v>
      </c>
      <c r="I7" s="3" t="s">
        <v>61</v>
      </c>
      <c r="J7" s="3" t="s">
        <v>62</v>
      </c>
      <c r="K7" s="3" t="s">
        <v>63</v>
      </c>
      <c r="L7" s="3" t="s">
        <v>64</v>
      </c>
      <c r="M7" s="3" t="s">
        <v>65</v>
      </c>
      <c r="N7" s="3" t="s">
        <v>66</v>
      </c>
      <c r="O7" s="3" t="s">
        <v>67</v>
      </c>
      <c r="P7" s="3" t="s">
        <v>68</v>
      </c>
      <c r="Q7" s="3" t="s">
        <v>59</v>
      </c>
      <c r="R7" s="3" t="s">
        <v>69</v>
      </c>
      <c r="S7" s="3" t="s">
        <v>70</v>
      </c>
      <c r="T7" s="3" t="s">
        <v>71</v>
      </c>
      <c r="U7" s="3" t="s">
        <v>72</v>
      </c>
      <c r="V7" s="3" t="s">
        <v>73</v>
      </c>
      <c r="W7" s="3" t="s">
        <v>74</v>
      </c>
    </row>
  </sheetData>
  <mergeCells count="4">
    <mergeCell ref="B1:H1"/>
    <mergeCell ref="B3:H3"/>
    <mergeCell ref="B2:H2"/>
    <mergeCell ref="B4:H4"/>
  </mergeCells>
  <dataValidations count="3">
    <dataValidation type="list" allowBlank="1" sqref="N2:N100 O6:O200" xr:uid="{00000000-0002-0000-0000-000000000000}">
      <formula1>"One-off,Ongoing,One-off + Ongoing"</formula1>
    </dataValidation>
    <dataValidation type="list" allowBlank="1" sqref="E6:E200" xr:uid="{00000000-0002-0000-0000-000001000000}">
      <formula1>"1–10,11–50,51–200,200+"</formula1>
    </dataValidation>
    <dataValidation type="list" allowBlank="1" sqref="H6:H200" xr:uid="{00000000-0002-0000-0000-000002000000}">
      <formula1>"LinkedIn,Email,Referral,Website,Cold call,Partner,Other"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0" customWidth="1"/>
    <col min="2" max="4" width="16" customWidth="1"/>
    <col min="5" max="6" width="14" customWidth="1"/>
    <col min="7" max="9" width="18" customWidth="1"/>
    <col min="10" max="10" width="12" customWidth="1"/>
    <col min="11" max="11" width="16" customWidth="1"/>
    <col min="12" max="13" width="14" customWidth="1"/>
    <col min="14" max="14" width="30" customWidth="1"/>
  </cols>
  <sheetData>
    <row r="1" spans="1:14" ht="30" x14ac:dyDescent="0.25">
      <c r="A1" s="1" t="s">
        <v>0</v>
      </c>
      <c r="B1" s="4" t="s">
        <v>1</v>
      </c>
      <c r="C1" s="5"/>
      <c r="D1" s="5"/>
      <c r="E1" s="5"/>
      <c r="F1" s="5"/>
      <c r="G1" s="5"/>
      <c r="H1" s="6"/>
    </row>
    <row r="2" spans="1:14" ht="30" x14ac:dyDescent="0.25">
      <c r="A2" s="1" t="s">
        <v>2</v>
      </c>
      <c r="B2" s="4" t="s">
        <v>75</v>
      </c>
      <c r="C2" s="5"/>
      <c r="D2" s="5"/>
      <c r="E2" s="5"/>
      <c r="F2" s="5"/>
      <c r="G2" s="5"/>
      <c r="H2" s="6"/>
    </row>
    <row r="3" spans="1:14" ht="30" x14ac:dyDescent="0.25">
      <c r="A3" s="1" t="s">
        <v>4</v>
      </c>
      <c r="B3" s="4" t="s">
        <v>5</v>
      </c>
      <c r="C3" s="5"/>
      <c r="D3" s="5"/>
      <c r="E3" s="5"/>
      <c r="F3" s="5"/>
      <c r="G3" s="5"/>
      <c r="H3" s="6"/>
    </row>
    <row r="4" spans="1:14" x14ac:dyDescent="0.25">
      <c r="A4" s="1" t="s">
        <v>6</v>
      </c>
      <c r="B4" s="4" t="s">
        <v>7</v>
      </c>
      <c r="C4" s="5"/>
      <c r="D4" s="5"/>
      <c r="E4" s="5"/>
      <c r="F4" s="5"/>
      <c r="G4" s="5"/>
      <c r="H4" s="6"/>
    </row>
    <row r="5" spans="1:14" ht="45" x14ac:dyDescent="0.25">
      <c r="A5" s="2" t="s">
        <v>8</v>
      </c>
      <c r="B5" s="2" t="s">
        <v>76</v>
      </c>
      <c r="C5" s="2" t="s">
        <v>77</v>
      </c>
      <c r="D5" s="2" t="s">
        <v>78</v>
      </c>
      <c r="E5" s="2" t="s">
        <v>79</v>
      </c>
      <c r="F5" s="2" t="s">
        <v>80</v>
      </c>
      <c r="G5" s="2" t="s">
        <v>81</v>
      </c>
      <c r="H5" s="2" t="s">
        <v>82</v>
      </c>
      <c r="I5" s="2" t="s">
        <v>83</v>
      </c>
      <c r="J5" s="2" t="s">
        <v>84</v>
      </c>
      <c r="K5" s="2" t="s">
        <v>85</v>
      </c>
      <c r="L5" s="2" t="s">
        <v>86</v>
      </c>
      <c r="M5" s="2" t="s">
        <v>87</v>
      </c>
      <c r="N5" s="2" t="s">
        <v>6</v>
      </c>
    </row>
    <row r="6" spans="1:14" ht="30" x14ac:dyDescent="0.25">
      <c r="A6" s="3" t="s">
        <v>30</v>
      </c>
      <c r="B6" s="3">
        <v>18</v>
      </c>
      <c r="C6" s="3">
        <v>17</v>
      </c>
      <c r="D6" s="3">
        <v>12</v>
      </c>
      <c r="E6" s="3">
        <v>13</v>
      </c>
      <c r="F6" s="3">
        <v>8</v>
      </c>
      <c r="G6" s="3">
        <v>-2</v>
      </c>
      <c r="H6" s="3">
        <v>-1</v>
      </c>
      <c r="I6" s="3">
        <v>6</v>
      </c>
      <c r="J6" s="3">
        <f>SUM(B6:F6)+SUM(G6:I6)</f>
        <v>71</v>
      </c>
      <c r="K6" s="3" t="str">
        <f>IF(J6&gt;=80,"Prioritise",IF(J6&gt;=60,"Nurture","Disqualify"))</f>
        <v>Nurture</v>
      </c>
      <c r="L6" s="3" t="s">
        <v>88</v>
      </c>
      <c r="M6" s="3" t="s">
        <v>5</v>
      </c>
      <c r="N6" s="3" t="s">
        <v>89</v>
      </c>
    </row>
    <row r="7" spans="1:14" ht="30" x14ac:dyDescent="0.25">
      <c r="A7" s="3" t="s">
        <v>53</v>
      </c>
      <c r="B7" s="3">
        <v>12</v>
      </c>
      <c r="C7" s="3">
        <v>13</v>
      </c>
      <c r="D7" s="3">
        <v>10</v>
      </c>
      <c r="E7" s="3">
        <v>8</v>
      </c>
      <c r="F7" s="3">
        <v>6</v>
      </c>
      <c r="G7" s="3">
        <v>-4</v>
      </c>
      <c r="H7" s="3">
        <v>-3</v>
      </c>
      <c r="I7" s="3">
        <v>3</v>
      </c>
      <c r="J7" s="3">
        <f>SUM(B7:F7)+SUM(G7:I7)</f>
        <v>45</v>
      </c>
      <c r="K7" s="3" t="str">
        <f>IF(J7&gt;=80,"Prioritise",IF(J7&gt;=60,"Nurture","Disqualify"))</f>
        <v>Disqualify</v>
      </c>
      <c r="L7" s="3" t="s">
        <v>88</v>
      </c>
      <c r="M7" s="3" t="s">
        <v>5</v>
      </c>
      <c r="N7" s="3" t="s">
        <v>90</v>
      </c>
    </row>
  </sheetData>
  <mergeCells count="4">
    <mergeCell ref="B1:H1"/>
    <mergeCell ref="B3:H3"/>
    <mergeCell ref="B2:H2"/>
    <mergeCell ref="B4:H4"/>
  </mergeCells>
  <dataValidations count="1">
    <dataValidation type="list" allowBlank="1" sqref="K2:K200" xr:uid="{00000000-0002-0000-0100-000000000000}">
      <formula1>"Prioritise,Nurture,Disqualify"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3" width="12" customWidth="1"/>
    <col min="4" max="4" width="22" customWidth="1"/>
    <col min="5" max="5" width="28" customWidth="1"/>
    <col min="6" max="6" width="22" customWidth="1"/>
    <col min="7" max="8" width="16" customWidth="1"/>
  </cols>
  <sheetData>
    <row r="1" spans="1:8" ht="30" x14ac:dyDescent="0.25">
      <c r="A1" s="1" t="s">
        <v>0</v>
      </c>
      <c r="B1" s="4" t="s">
        <v>1</v>
      </c>
      <c r="C1" s="5"/>
      <c r="D1" s="5"/>
      <c r="E1" s="5"/>
      <c r="F1" s="5"/>
      <c r="G1" s="5"/>
      <c r="H1" s="6"/>
    </row>
    <row r="2" spans="1:8" ht="30" x14ac:dyDescent="0.25">
      <c r="A2" s="1" t="s">
        <v>2</v>
      </c>
      <c r="B2" s="4" t="s">
        <v>91</v>
      </c>
      <c r="C2" s="5"/>
      <c r="D2" s="5"/>
      <c r="E2" s="5"/>
      <c r="F2" s="5"/>
      <c r="G2" s="5"/>
      <c r="H2" s="6"/>
    </row>
    <row r="3" spans="1:8" ht="30" x14ac:dyDescent="0.25">
      <c r="A3" s="1" t="s">
        <v>4</v>
      </c>
      <c r="B3" s="4" t="s">
        <v>5</v>
      </c>
      <c r="C3" s="5"/>
      <c r="D3" s="5"/>
      <c r="E3" s="5"/>
      <c r="F3" s="5"/>
      <c r="G3" s="5"/>
      <c r="H3" s="6"/>
    </row>
    <row r="4" spans="1:8" x14ac:dyDescent="0.25">
      <c r="A4" s="1" t="s">
        <v>6</v>
      </c>
      <c r="B4" s="4" t="s">
        <v>7</v>
      </c>
      <c r="C4" s="5"/>
      <c r="D4" s="5"/>
      <c r="E4" s="5"/>
      <c r="F4" s="5"/>
      <c r="G4" s="5"/>
      <c r="H4" s="6"/>
    </row>
    <row r="5" spans="1:8" ht="30" x14ac:dyDescent="0.25">
      <c r="A5" s="2" t="s">
        <v>8</v>
      </c>
      <c r="B5" s="2" t="s">
        <v>92</v>
      </c>
      <c r="C5" s="2" t="s">
        <v>84</v>
      </c>
      <c r="D5" s="2" t="s">
        <v>93</v>
      </c>
      <c r="E5" s="2" t="s">
        <v>94</v>
      </c>
      <c r="F5" s="2" t="s">
        <v>95</v>
      </c>
      <c r="G5" s="2" t="s">
        <v>96</v>
      </c>
      <c r="H5" s="2" t="s">
        <v>97</v>
      </c>
    </row>
    <row r="6" spans="1:8" ht="30" x14ac:dyDescent="0.25">
      <c r="A6" s="3" t="s">
        <v>30</v>
      </c>
      <c r="B6" s="3" t="str">
        <f>VLOOKUP(A6,'Client Intake'!A:W,2,FALSE)</f>
        <v>Harborline Logistics</v>
      </c>
      <c r="C6" s="3">
        <f>VLOOKUP(A6,'Qualification Scoring'!A:N,10,FALSE)</f>
        <v>71</v>
      </c>
      <c r="D6" s="3" t="str">
        <f>VLOOKUP(A6,'Qualification Scoring'!A:N,11,FALSE)</f>
        <v>Nurture</v>
      </c>
      <c r="E6" s="3" t="s">
        <v>98</v>
      </c>
      <c r="F6" s="3" t="s">
        <v>99</v>
      </c>
      <c r="G6" s="3" t="s">
        <v>88</v>
      </c>
      <c r="H6" s="3" t="s">
        <v>5</v>
      </c>
    </row>
    <row r="7" spans="1:8" ht="30" x14ac:dyDescent="0.25">
      <c r="A7" s="3" t="s">
        <v>53</v>
      </c>
      <c r="B7" s="3" t="str">
        <f>VLOOKUP(A7,'Client Intake'!A:W,2,FALSE)</f>
        <v>Westbridge Legal</v>
      </c>
      <c r="C7" s="3">
        <f>VLOOKUP(A7,'Qualification Scoring'!A:N,10,FALSE)</f>
        <v>45</v>
      </c>
      <c r="D7" s="3" t="str">
        <f>VLOOKUP(A7,'Qualification Scoring'!A:N,11,FALSE)</f>
        <v>Disqualify</v>
      </c>
      <c r="E7" s="3" t="s">
        <v>100</v>
      </c>
      <c r="F7" s="3" t="s">
        <v>101</v>
      </c>
      <c r="G7" s="3" t="s">
        <v>88</v>
      </c>
      <c r="H7" s="3" t="s">
        <v>5</v>
      </c>
    </row>
  </sheetData>
  <mergeCells count="4">
    <mergeCell ref="B1:H1"/>
    <mergeCell ref="B3:H3"/>
    <mergeCell ref="B2:H2"/>
    <mergeCell ref="B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 Intake</vt:lpstr>
      <vt:lpstr>Qualification Scoring</vt:lpstr>
      <vt:lpstr>Decision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Safi Ahmed</cp:lastModifiedBy>
  <dcterms:created xsi:type="dcterms:W3CDTF">2026-01-16T18:44:39Z</dcterms:created>
  <dcterms:modified xsi:type="dcterms:W3CDTF">2026-01-16T19:05:19Z</dcterms:modified>
</cp:coreProperties>
</file>